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5C0AA457-2A46-492C-9F6F-7328D02DE46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</calcChain>
</file>

<file path=xl/sharedStrings.xml><?xml version="1.0" encoding="utf-8"?>
<sst xmlns="http://schemas.openxmlformats.org/spreadsheetml/2006/main" count="13" uniqueCount="13">
  <si>
    <t>BURNDOWN THERMUS GRUPO 5</t>
  </si>
  <si>
    <t>SPRINTS 1 E 2</t>
  </si>
  <si>
    <t>Métrica</t>
  </si>
  <si>
    <t>Valor</t>
  </si>
  <si>
    <t>Data</t>
  </si>
  <si>
    <t>Dias Corridos</t>
  </si>
  <si>
    <t>Meta Dia</t>
  </si>
  <si>
    <t>Meta Ideal</t>
  </si>
  <si>
    <t>Realizado Dia REAL</t>
  </si>
  <si>
    <t>Pendente</t>
  </si>
  <si>
    <t>Pontos a serem entregues</t>
  </si>
  <si>
    <t>Prazo de Término desta fase (DIAS)</t>
  </si>
  <si>
    <t>Média ideal por 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</si>
</sst>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6"/>
      <color theme="0"/>
      <name val="Arial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1" fillId="0" borderId="1" xfId="0" applyFont="1" applyBorder="1" applyAlignment="1">
      <alignment wrapText="1" readingOrder="1"/>
    </xf>
    <xf numFmtId="14" fontId="2" fillId="0" borderId="1" xfId="0" applyNumberFormat="1" applyFont="1" applyBorder="1" applyAlignment="1">
      <alignment readingOrder="1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BURNDOWN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Planilha1!$H$5</c:f>
              <c:strCache>
                <c:ptCount val="1"/>
                <c:pt idx="0">
                  <c:v>Meta Ideal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Planilha1!$E$6:$E$86</c:f>
              <c:numCache>
                <c:formatCode>m/d/yyyy</c:formatCode>
                <c:ptCount val="81"/>
                <c:pt idx="0">
                  <c:v>46055</c:v>
                </c:pt>
                <c:pt idx="1">
                  <c:v>46056</c:v>
                </c:pt>
                <c:pt idx="2">
                  <c:v>46057</c:v>
                </c:pt>
                <c:pt idx="3">
                  <c:v>46058</c:v>
                </c:pt>
                <c:pt idx="4">
                  <c:v>46059</c:v>
                </c:pt>
                <c:pt idx="5">
                  <c:v>46060</c:v>
                </c:pt>
                <c:pt idx="6">
                  <c:v>46061</c:v>
                </c:pt>
                <c:pt idx="7">
                  <c:v>46062</c:v>
                </c:pt>
                <c:pt idx="8">
                  <c:v>46063</c:v>
                </c:pt>
                <c:pt idx="9">
                  <c:v>46064</c:v>
                </c:pt>
                <c:pt idx="10">
                  <c:v>46065</c:v>
                </c:pt>
                <c:pt idx="11">
                  <c:v>46066</c:v>
                </c:pt>
                <c:pt idx="12">
                  <c:v>46067</c:v>
                </c:pt>
                <c:pt idx="13">
                  <c:v>46068</c:v>
                </c:pt>
                <c:pt idx="14">
                  <c:v>46069</c:v>
                </c:pt>
                <c:pt idx="15">
                  <c:v>46070</c:v>
                </c:pt>
                <c:pt idx="16">
                  <c:v>46071</c:v>
                </c:pt>
                <c:pt idx="17">
                  <c:v>46072</c:v>
                </c:pt>
                <c:pt idx="18">
                  <c:v>46073</c:v>
                </c:pt>
                <c:pt idx="19">
                  <c:v>46074</c:v>
                </c:pt>
                <c:pt idx="20">
                  <c:v>46075</c:v>
                </c:pt>
                <c:pt idx="21">
                  <c:v>46076</c:v>
                </c:pt>
                <c:pt idx="22">
                  <c:v>46077</c:v>
                </c:pt>
                <c:pt idx="23">
                  <c:v>46078</c:v>
                </c:pt>
                <c:pt idx="24">
                  <c:v>46079</c:v>
                </c:pt>
                <c:pt idx="25">
                  <c:v>46080</c:v>
                </c:pt>
                <c:pt idx="26">
                  <c:v>46081</c:v>
                </c:pt>
                <c:pt idx="27">
                  <c:v>46082</c:v>
                </c:pt>
                <c:pt idx="28">
                  <c:v>46083</c:v>
                </c:pt>
                <c:pt idx="29">
                  <c:v>46084</c:v>
                </c:pt>
                <c:pt idx="30">
                  <c:v>46085</c:v>
                </c:pt>
                <c:pt idx="31">
                  <c:v>46086</c:v>
                </c:pt>
                <c:pt idx="32">
                  <c:v>46087</c:v>
                </c:pt>
                <c:pt idx="33">
                  <c:v>46088</c:v>
                </c:pt>
                <c:pt idx="34">
                  <c:v>46089</c:v>
                </c:pt>
                <c:pt idx="35">
                  <c:v>46090</c:v>
                </c:pt>
                <c:pt idx="36">
                  <c:v>46091</c:v>
                </c:pt>
                <c:pt idx="37">
                  <c:v>46092</c:v>
                </c:pt>
                <c:pt idx="38">
                  <c:v>46093</c:v>
                </c:pt>
                <c:pt idx="39">
                  <c:v>46094</c:v>
                </c:pt>
                <c:pt idx="40">
                  <c:v>46095</c:v>
                </c:pt>
                <c:pt idx="41">
                  <c:v>46096</c:v>
                </c:pt>
                <c:pt idx="42">
                  <c:v>46097</c:v>
                </c:pt>
                <c:pt idx="43">
                  <c:v>46098</c:v>
                </c:pt>
                <c:pt idx="44">
                  <c:v>46099</c:v>
                </c:pt>
                <c:pt idx="45">
                  <c:v>46100</c:v>
                </c:pt>
                <c:pt idx="46">
                  <c:v>46101</c:v>
                </c:pt>
                <c:pt idx="47">
                  <c:v>46102</c:v>
                </c:pt>
                <c:pt idx="48">
                  <c:v>46103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46109</c:v>
                </c:pt>
                <c:pt idx="55">
                  <c:v>46110</c:v>
                </c:pt>
                <c:pt idx="56">
                  <c:v>46111</c:v>
                </c:pt>
                <c:pt idx="57">
                  <c:v>46112</c:v>
                </c:pt>
                <c:pt idx="58">
                  <c:v>46113</c:v>
                </c:pt>
                <c:pt idx="59">
                  <c:v>46114</c:v>
                </c:pt>
                <c:pt idx="60">
                  <c:v>46115</c:v>
                </c:pt>
                <c:pt idx="61">
                  <c:v>46116</c:v>
                </c:pt>
                <c:pt idx="62">
                  <c:v>46117</c:v>
                </c:pt>
                <c:pt idx="63">
                  <c:v>46118</c:v>
                </c:pt>
                <c:pt idx="64">
                  <c:v>46119</c:v>
                </c:pt>
                <c:pt idx="65">
                  <c:v>46120</c:v>
                </c:pt>
                <c:pt idx="66">
                  <c:v>46121</c:v>
                </c:pt>
                <c:pt idx="67">
                  <c:v>46122</c:v>
                </c:pt>
                <c:pt idx="68">
                  <c:v>46123</c:v>
                </c:pt>
                <c:pt idx="69">
                  <c:v>46124</c:v>
                </c:pt>
                <c:pt idx="70">
                  <c:v>46125</c:v>
                </c:pt>
                <c:pt idx="71">
                  <c:v>46126</c:v>
                </c:pt>
                <c:pt idx="72">
                  <c:v>46127</c:v>
                </c:pt>
                <c:pt idx="73">
                  <c:v>46128</c:v>
                </c:pt>
                <c:pt idx="74">
                  <c:v>46129</c:v>
                </c:pt>
                <c:pt idx="75">
                  <c:v>46130</c:v>
                </c:pt>
                <c:pt idx="76">
                  <c:v>46131</c:v>
                </c:pt>
                <c:pt idx="77">
                  <c:v>46132</c:v>
                </c:pt>
                <c:pt idx="78">
                  <c:v>46133</c:v>
                </c:pt>
                <c:pt idx="79">
                  <c:v>46134</c:v>
                </c:pt>
                <c:pt idx="80">
                  <c:v>46135</c:v>
                </c:pt>
              </c:numCache>
            </c:numRef>
          </c:cat>
          <c:val>
            <c:numRef>
              <c:f>Planilha1!$H$6:$H$86</c:f>
              <c:numCache>
                <c:formatCode>General</c:formatCode>
                <c:ptCount val="81"/>
                <c:pt idx="0">
                  <c:v>380</c:v>
                </c:pt>
                <c:pt idx="1">
                  <c:v>375.25</c:v>
                </c:pt>
                <c:pt idx="2">
                  <c:v>370.5</c:v>
                </c:pt>
                <c:pt idx="3">
                  <c:v>365.75</c:v>
                </c:pt>
                <c:pt idx="4">
                  <c:v>361</c:v>
                </c:pt>
                <c:pt idx="5">
                  <c:v>356.25</c:v>
                </c:pt>
                <c:pt idx="6">
                  <c:v>351.5</c:v>
                </c:pt>
                <c:pt idx="7">
                  <c:v>346.75</c:v>
                </c:pt>
                <c:pt idx="8">
                  <c:v>342</c:v>
                </c:pt>
                <c:pt idx="9">
                  <c:v>337.25</c:v>
                </c:pt>
                <c:pt idx="10">
                  <c:v>332.5</c:v>
                </c:pt>
                <c:pt idx="11">
                  <c:v>327.75</c:v>
                </c:pt>
                <c:pt idx="12">
                  <c:v>323</c:v>
                </c:pt>
                <c:pt idx="13">
                  <c:v>318.25</c:v>
                </c:pt>
                <c:pt idx="14">
                  <c:v>313.5</c:v>
                </c:pt>
                <c:pt idx="15">
                  <c:v>308.75</c:v>
                </c:pt>
                <c:pt idx="16">
                  <c:v>304</c:v>
                </c:pt>
                <c:pt idx="17">
                  <c:v>299.25</c:v>
                </c:pt>
                <c:pt idx="18">
                  <c:v>294.5</c:v>
                </c:pt>
                <c:pt idx="19">
                  <c:v>289.75</c:v>
                </c:pt>
                <c:pt idx="20">
                  <c:v>285</c:v>
                </c:pt>
                <c:pt idx="21">
                  <c:v>280.25</c:v>
                </c:pt>
                <c:pt idx="22">
                  <c:v>275.5</c:v>
                </c:pt>
                <c:pt idx="23">
                  <c:v>270.75</c:v>
                </c:pt>
                <c:pt idx="24">
                  <c:v>266</c:v>
                </c:pt>
                <c:pt idx="25">
                  <c:v>261.25</c:v>
                </c:pt>
                <c:pt idx="26">
                  <c:v>256.5</c:v>
                </c:pt>
                <c:pt idx="27">
                  <c:v>251.75</c:v>
                </c:pt>
                <c:pt idx="28">
                  <c:v>247</c:v>
                </c:pt>
                <c:pt idx="29">
                  <c:v>242.25</c:v>
                </c:pt>
                <c:pt idx="30">
                  <c:v>237.5</c:v>
                </c:pt>
                <c:pt idx="31">
                  <c:v>232.75</c:v>
                </c:pt>
                <c:pt idx="32">
                  <c:v>228</c:v>
                </c:pt>
                <c:pt idx="33">
                  <c:v>223.25</c:v>
                </c:pt>
                <c:pt idx="34">
                  <c:v>218.5</c:v>
                </c:pt>
                <c:pt idx="35">
                  <c:v>213.75</c:v>
                </c:pt>
                <c:pt idx="36">
                  <c:v>209</c:v>
                </c:pt>
                <c:pt idx="37">
                  <c:v>204.25</c:v>
                </c:pt>
                <c:pt idx="38">
                  <c:v>199.5</c:v>
                </c:pt>
                <c:pt idx="39">
                  <c:v>194.75</c:v>
                </c:pt>
                <c:pt idx="40">
                  <c:v>190</c:v>
                </c:pt>
                <c:pt idx="41">
                  <c:v>185.25</c:v>
                </c:pt>
                <c:pt idx="42">
                  <c:v>180.5</c:v>
                </c:pt>
                <c:pt idx="43">
                  <c:v>175.75</c:v>
                </c:pt>
                <c:pt idx="44">
                  <c:v>171</c:v>
                </c:pt>
                <c:pt idx="45">
                  <c:v>166.25</c:v>
                </c:pt>
                <c:pt idx="46">
                  <c:v>161.5</c:v>
                </c:pt>
                <c:pt idx="47">
                  <c:v>156.75</c:v>
                </c:pt>
                <c:pt idx="48">
                  <c:v>152</c:v>
                </c:pt>
                <c:pt idx="49">
                  <c:v>147.25</c:v>
                </c:pt>
                <c:pt idx="50">
                  <c:v>142.5</c:v>
                </c:pt>
                <c:pt idx="51">
                  <c:v>137.75</c:v>
                </c:pt>
                <c:pt idx="52">
                  <c:v>133</c:v>
                </c:pt>
                <c:pt idx="53">
                  <c:v>128.25</c:v>
                </c:pt>
                <c:pt idx="54">
                  <c:v>123.5</c:v>
                </c:pt>
                <c:pt idx="55">
                  <c:v>118.75</c:v>
                </c:pt>
                <c:pt idx="56">
                  <c:v>114</c:v>
                </c:pt>
                <c:pt idx="57">
                  <c:v>109.25</c:v>
                </c:pt>
                <c:pt idx="58">
                  <c:v>104.5</c:v>
                </c:pt>
                <c:pt idx="59">
                  <c:v>99.75</c:v>
                </c:pt>
                <c:pt idx="60">
                  <c:v>95</c:v>
                </c:pt>
                <c:pt idx="61">
                  <c:v>90.25</c:v>
                </c:pt>
                <c:pt idx="62">
                  <c:v>85.5</c:v>
                </c:pt>
                <c:pt idx="63">
                  <c:v>80.75</c:v>
                </c:pt>
                <c:pt idx="64">
                  <c:v>76</c:v>
                </c:pt>
                <c:pt idx="65">
                  <c:v>71.25</c:v>
                </c:pt>
                <c:pt idx="66">
                  <c:v>66.5</c:v>
                </c:pt>
                <c:pt idx="67">
                  <c:v>61.75</c:v>
                </c:pt>
                <c:pt idx="68">
                  <c:v>57</c:v>
                </c:pt>
                <c:pt idx="69">
                  <c:v>52.25</c:v>
                </c:pt>
                <c:pt idx="70">
                  <c:v>47.5</c:v>
                </c:pt>
                <c:pt idx="71">
                  <c:v>42.75</c:v>
                </c:pt>
                <c:pt idx="72">
                  <c:v>38</c:v>
                </c:pt>
                <c:pt idx="73">
                  <c:v>33.25</c:v>
                </c:pt>
                <c:pt idx="74">
                  <c:v>28.5</c:v>
                </c:pt>
                <c:pt idx="75">
                  <c:v>23.75</c:v>
                </c:pt>
                <c:pt idx="76">
                  <c:v>19</c:v>
                </c:pt>
                <c:pt idx="77">
                  <c:v>14.25</c:v>
                </c:pt>
                <c:pt idx="78">
                  <c:v>9.5</c:v>
                </c:pt>
                <c:pt idx="79">
                  <c:v>4.75</c:v>
                </c:pt>
                <c:pt idx="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BB1-4BA5-9218-DADA311EF58B}"/>
            </c:ext>
          </c:extLst>
        </c:ser>
        <c:ser>
          <c:idx val="1"/>
          <c:order val="1"/>
          <c:tx>
            <c:strRef>
              <c:f>Planilha1!$J$5</c:f>
              <c:strCache>
                <c:ptCount val="1"/>
                <c:pt idx="0">
                  <c:v>Pendente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Planilha1!$E$6:$E$86</c:f>
              <c:numCache>
                <c:formatCode>m/d/yyyy</c:formatCode>
                <c:ptCount val="81"/>
                <c:pt idx="0">
                  <c:v>46055</c:v>
                </c:pt>
                <c:pt idx="1">
                  <c:v>46056</c:v>
                </c:pt>
                <c:pt idx="2">
                  <c:v>46057</c:v>
                </c:pt>
                <c:pt idx="3">
                  <c:v>46058</c:v>
                </c:pt>
                <c:pt idx="4">
                  <c:v>46059</c:v>
                </c:pt>
                <c:pt idx="5">
                  <c:v>46060</c:v>
                </c:pt>
                <c:pt idx="6">
                  <c:v>46061</c:v>
                </c:pt>
                <c:pt idx="7">
                  <c:v>46062</c:v>
                </c:pt>
                <c:pt idx="8">
                  <c:v>46063</c:v>
                </c:pt>
                <c:pt idx="9">
                  <c:v>46064</c:v>
                </c:pt>
                <c:pt idx="10">
                  <c:v>46065</c:v>
                </c:pt>
                <c:pt idx="11">
                  <c:v>46066</c:v>
                </c:pt>
                <c:pt idx="12">
                  <c:v>46067</c:v>
                </c:pt>
                <c:pt idx="13">
                  <c:v>46068</c:v>
                </c:pt>
                <c:pt idx="14">
                  <c:v>46069</c:v>
                </c:pt>
                <c:pt idx="15">
                  <c:v>46070</c:v>
                </c:pt>
                <c:pt idx="16">
                  <c:v>46071</c:v>
                </c:pt>
                <c:pt idx="17">
                  <c:v>46072</c:v>
                </c:pt>
                <c:pt idx="18">
                  <c:v>46073</c:v>
                </c:pt>
                <c:pt idx="19">
                  <c:v>46074</c:v>
                </c:pt>
                <c:pt idx="20">
                  <c:v>46075</c:v>
                </c:pt>
                <c:pt idx="21">
                  <c:v>46076</c:v>
                </c:pt>
                <c:pt idx="22">
                  <c:v>46077</c:v>
                </c:pt>
                <c:pt idx="23">
                  <c:v>46078</c:v>
                </c:pt>
                <c:pt idx="24">
                  <c:v>46079</c:v>
                </c:pt>
                <c:pt idx="25">
                  <c:v>46080</c:v>
                </c:pt>
                <c:pt idx="26">
                  <c:v>46081</c:v>
                </c:pt>
                <c:pt idx="27">
                  <c:v>46082</c:v>
                </c:pt>
                <c:pt idx="28">
                  <c:v>46083</c:v>
                </c:pt>
                <c:pt idx="29">
                  <c:v>46084</c:v>
                </c:pt>
                <c:pt idx="30">
                  <c:v>46085</c:v>
                </c:pt>
                <c:pt idx="31">
                  <c:v>46086</c:v>
                </c:pt>
                <c:pt idx="32">
                  <c:v>46087</c:v>
                </c:pt>
                <c:pt idx="33">
                  <c:v>46088</c:v>
                </c:pt>
                <c:pt idx="34">
                  <c:v>46089</c:v>
                </c:pt>
                <c:pt idx="35">
                  <c:v>46090</c:v>
                </c:pt>
                <c:pt idx="36">
                  <c:v>46091</c:v>
                </c:pt>
                <c:pt idx="37">
                  <c:v>46092</c:v>
                </c:pt>
                <c:pt idx="38">
                  <c:v>46093</c:v>
                </c:pt>
                <c:pt idx="39">
                  <c:v>46094</c:v>
                </c:pt>
                <c:pt idx="40">
                  <c:v>46095</c:v>
                </c:pt>
                <c:pt idx="41">
                  <c:v>46096</c:v>
                </c:pt>
                <c:pt idx="42">
                  <c:v>46097</c:v>
                </c:pt>
                <c:pt idx="43">
                  <c:v>46098</c:v>
                </c:pt>
                <c:pt idx="44">
                  <c:v>46099</c:v>
                </c:pt>
                <c:pt idx="45">
                  <c:v>46100</c:v>
                </c:pt>
                <c:pt idx="46">
                  <c:v>46101</c:v>
                </c:pt>
                <c:pt idx="47">
                  <c:v>46102</c:v>
                </c:pt>
                <c:pt idx="48">
                  <c:v>46103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46109</c:v>
                </c:pt>
                <c:pt idx="55">
                  <c:v>46110</c:v>
                </c:pt>
                <c:pt idx="56">
                  <c:v>46111</c:v>
                </c:pt>
                <c:pt idx="57">
                  <c:v>46112</c:v>
                </c:pt>
                <c:pt idx="58">
                  <c:v>46113</c:v>
                </c:pt>
                <c:pt idx="59">
                  <c:v>46114</c:v>
                </c:pt>
                <c:pt idx="60">
                  <c:v>46115</c:v>
                </c:pt>
                <c:pt idx="61">
                  <c:v>46116</c:v>
                </c:pt>
                <c:pt idx="62">
                  <c:v>46117</c:v>
                </c:pt>
                <c:pt idx="63">
                  <c:v>46118</c:v>
                </c:pt>
                <c:pt idx="64">
                  <c:v>46119</c:v>
                </c:pt>
                <c:pt idx="65">
                  <c:v>46120</c:v>
                </c:pt>
                <c:pt idx="66">
                  <c:v>46121</c:v>
                </c:pt>
                <c:pt idx="67">
                  <c:v>46122</c:v>
                </c:pt>
                <c:pt idx="68">
                  <c:v>46123</c:v>
                </c:pt>
                <c:pt idx="69">
                  <c:v>46124</c:v>
                </c:pt>
                <c:pt idx="70">
                  <c:v>46125</c:v>
                </c:pt>
                <c:pt idx="71">
                  <c:v>46126</c:v>
                </c:pt>
                <c:pt idx="72">
                  <c:v>46127</c:v>
                </c:pt>
                <c:pt idx="73">
                  <c:v>46128</c:v>
                </c:pt>
                <c:pt idx="74">
                  <c:v>46129</c:v>
                </c:pt>
                <c:pt idx="75">
                  <c:v>46130</c:v>
                </c:pt>
                <c:pt idx="76">
                  <c:v>46131</c:v>
                </c:pt>
                <c:pt idx="77">
                  <c:v>46132</c:v>
                </c:pt>
                <c:pt idx="78">
                  <c:v>46133</c:v>
                </c:pt>
                <c:pt idx="79">
                  <c:v>46134</c:v>
                </c:pt>
                <c:pt idx="80">
                  <c:v>46135</c:v>
                </c:pt>
              </c:numCache>
            </c:numRef>
          </c:cat>
          <c:val>
            <c:numRef>
              <c:f>Planilha1!$J$6:$J$86</c:f>
              <c:numCache>
                <c:formatCode>General</c:formatCode>
                <c:ptCount val="81"/>
                <c:pt idx="0">
                  <c:v>377</c:v>
                </c:pt>
                <c:pt idx="1">
                  <c:v>375</c:v>
                </c:pt>
                <c:pt idx="2">
                  <c:v>371</c:v>
                </c:pt>
                <c:pt idx="3">
                  <c:v>368</c:v>
                </c:pt>
                <c:pt idx="4">
                  <c:v>366</c:v>
                </c:pt>
                <c:pt idx="5">
                  <c:v>362</c:v>
                </c:pt>
                <c:pt idx="6">
                  <c:v>359</c:v>
                </c:pt>
                <c:pt idx="7">
                  <c:v>357</c:v>
                </c:pt>
                <c:pt idx="8">
                  <c:v>353</c:v>
                </c:pt>
                <c:pt idx="9">
                  <c:v>350</c:v>
                </c:pt>
                <c:pt idx="10">
                  <c:v>347</c:v>
                </c:pt>
                <c:pt idx="11">
                  <c:v>344</c:v>
                </c:pt>
                <c:pt idx="12">
                  <c:v>342</c:v>
                </c:pt>
                <c:pt idx="13">
                  <c:v>338</c:v>
                </c:pt>
                <c:pt idx="14">
                  <c:v>336</c:v>
                </c:pt>
                <c:pt idx="15">
                  <c:v>332</c:v>
                </c:pt>
                <c:pt idx="16">
                  <c:v>329</c:v>
                </c:pt>
                <c:pt idx="17">
                  <c:v>325</c:v>
                </c:pt>
                <c:pt idx="18">
                  <c:v>323</c:v>
                </c:pt>
                <c:pt idx="19">
                  <c:v>314</c:v>
                </c:pt>
                <c:pt idx="20">
                  <c:v>314</c:v>
                </c:pt>
                <c:pt idx="21">
                  <c:v>314</c:v>
                </c:pt>
                <c:pt idx="22">
                  <c:v>312</c:v>
                </c:pt>
                <c:pt idx="23">
                  <c:v>308</c:v>
                </c:pt>
                <c:pt idx="24">
                  <c:v>307</c:v>
                </c:pt>
                <c:pt idx="25">
                  <c:v>302</c:v>
                </c:pt>
                <c:pt idx="26">
                  <c:v>299</c:v>
                </c:pt>
                <c:pt idx="27">
                  <c:v>297</c:v>
                </c:pt>
                <c:pt idx="28">
                  <c:v>293</c:v>
                </c:pt>
                <c:pt idx="29">
                  <c:v>288</c:v>
                </c:pt>
                <c:pt idx="30">
                  <c:v>287</c:v>
                </c:pt>
                <c:pt idx="31">
                  <c:v>284</c:v>
                </c:pt>
                <c:pt idx="32">
                  <c:v>281</c:v>
                </c:pt>
                <c:pt idx="33">
                  <c:v>281</c:v>
                </c:pt>
                <c:pt idx="34">
                  <c:v>278</c:v>
                </c:pt>
                <c:pt idx="35">
                  <c:v>272</c:v>
                </c:pt>
                <c:pt idx="36">
                  <c:v>262</c:v>
                </c:pt>
                <c:pt idx="37">
                  <c:v>260</c:v>
                </c:pt>
                <c:pt idx="38">
                  <c:v>256</c:v>
                </c:pt>
                <c:pt idx="39">
                  <c:v>248</c:v>
                </c:pt>
                <c:pt idx="40">
                  <c:v>242</c:v>
                </c:pt>
                <c:pt idx="41">
                  <c:v>236</c:v>
                </c:pt>
                <c:pt idx="42">
                  <c:v>228</c:v>
                </c:pt>
                <c:pt idx="43">
                  <c:v>224</c:v>
                </c:pt>
                <c:pt idx="44">
                  <c:v>206</c:v>
                </c:pt>
                <c:pt idx="45">
                  <c:v>206</c:v>
                </c:pt>
                <c:pt idx="46">
                  <c:v>204</c:v>
                </c:pt>
                <c:pt idx="47">
                  <c:v>194</c:v>
                </c:pt>
                <c:pt idx="48">
                  <c:v>192</c:v>
                </c:pt>
                <c:pt idx="49">
                  <c:v>188</c:v>
                </c:pt>
                <c:pt idx="50">
                  <c:v>182</c:v>
                </c:pt>
                <c:pt idx="51">
                  <c:v>176</c:v>
                </c:pt>
                <c:pt idx="52">
                  <c:v>168</c:v>
                </c:pt>
                <c:pt idx="53">
                  <c:v>164</c:v>
                </c:pt>
                <c:pt idx="54">
                  <c:v>158</c:v>
                </c:pt>
                <c:pt idx="55">
                  <c:v>152</c:v>
                </c:pt>
                <c:pt idx="56">
                  <c:v>140</c:v>
                </c:pt>
                <c:pt idx="57">
                  <c:v>140</c:v>
                </c:pt>
                <c:pt idx="58">
                  <c:v>119</c:v>
                </c:pt>
                <c:pt idx="59">
                  <c:v>115</c:v>
                </c:pt>
                <c:pt idx="60">
                  <c:v>111</c:v>
                </c:pt>
                <c:pt idx="61">
                  <c:v>105</c:v>
                </c:pt>
                <c:pt idx="62">
                  <c:v>99</c:v>
                </c:pt>
                <c:pt idx="63">
                  <c:v>94</c:v>
                </c:pt>
                <c:pt idx="64">
                  <c:v>90</c:v>
                </c:pt>
                <c:pt idx="65">
                  <c:v>86</c:v>
                </c:pt>
                <c:pt idx="66">
                  <c:v>84</c:v>
                </c:pt>
                <c:pt idx="67">
                  <c:v>78</c:v>
                </c:pt>
                <c:pt idx="68">
                  <c:v>72</c:v>
                </c:pt>
                <c:pt idx="69">
                  <c:v>60</c:v>
                </c:pt>
                <c:pt idx="70">
                  <c:v>54</c:v>
                </c:pt>
                <c:pt idx="71">
                  <c:v>54</c:v>
                </c:pt>
                <c:pt idx="72">
                  <c:v>48</c:v>
                </c:pt>
                <c:pt idx="73">
                  <c:v>42</c:v>
                </c:pt>
                <c:pt idx="74">
                  <c:v>32</c:v>
                </c:pt>
                <c:pt idx="75">
                  <c:v>30</c:v>
                </c:pt>
                <c:pt idx="76">
                  <c:v>24</c:v>
                </c:pt>
                <c:pt idx="77">
                  <c:v>18</c:v>
                </c:pt>
                <c:pt idx="78">
                  <c:v>14</c:v>
                </c:pt>
                <c:pt idx="79">
                  <c:v>6</c:v>
                </c:pt>
                <c:pt idx="8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BB1-4BA5-9218-DADA311EF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2805896"/>
        <c:axId val="1485744648"/>
      </c:lineChart>
      <c:dateAx>
        <c:axId val="83280589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744648"/>
        <c:crosses val="autoZero"/>
        <c:auto val="1"/>
        <c:lblOffset val="100"/>
        <c:baseTimeUnit val="days"/>
      </c:dateAx>
      <c:valAx>
        <c:axId val="1485744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805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76200</xdr:colOff>
      <xdr:row>4</xdr:row>
      <xdr:rowOff>57150</xdr:rowOff>
    </xdr:from>
    <xdr:to>
      <xdr:col>18</xdr:col>
      <xdr:colOff>381000</xdr:colOff>
      <xdr:row>18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5A4AA58-4E5B-25EC-B4A6-1E8F89599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86"/>
  <sheetViews>
    <sheetView tabSelected="1" topLeftCell="B1" workbookViewId="0">
      <selection activeCell="B3" sqref="B3"/>
    </sheetView>
  </sheetViews>
  <sheetFormatPr defaultRowHeight="15"/>
  <cols>
    <col min="2" max="2" width="36.5703125" bestFit="1" customWidth="1"/>
    <col min="4" max="4" width="3.28515625" customWidth="1"/>
    <col min="5" max="5" width="11.7109375" bestFit="1" customWidth="1"/>
    <col min="6" max="6" width="15" customWidth="1"/>
    <col min="7" max="7" width="14" customWidth="1"/>
    <col min="8" max="8" width="15" customWidth="1"/>
    <col min="9" max="9" width="20.140625" customWidth="1"/>
    <col min="10" max="10" width="18.85546875" customWidth="1"/>
  </cols>
  <sheetData>
    <row r="1" spans="2:19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2:19" ht="21" customHeight="1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2:19" ht="23.25" customHeight="1">
      <c r="B3" s="6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5" spans="2:19" ht="16.5">
      <c r="B5" s="3" t="s">
        <v>2</v>
      </c>
      <c r="C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</row>
    <row r="6" spans="2:19" ht="16.5">
      <c r="B6" s="3" t="s">
        <v>10</v>
      </c>
      <c r="C6" s="2">
        <v>382</v>
      </c>
      <c r="E6" s="4">
        <v>46055</v>
      </c>
      <c r="F6" s="2">
        <v>0</v>
      </c>
      <c r="G6" s="2">
        <v>0</v>
      </c>
      <c r="H6" s="2">
        <v>380</v>
      </c>
      <c r="I6" s="2">
        <v>3</v>
      </c>
      <c r="J6" s="2">
        <f>380-I6</f>
        <v>377</v>
      </c>
    </row>
    <row r="7" spans="2:19" ht="16.5">
      <c r="B7" s="3" t="s">
        <v>11</v>
      </c>
      <c r="C7" s="2">
        <v>80</v>
      </c>
      <c r="E7" s="4">
        <v>46056</v>
      </c>
      <c r="F7" s="2">
        <v>1</v>
      </c>
      <c r="G7" s="2">
        <v>4.75</v>
      </c>
      <c r="H7" s="2">
        <v>375.25</v>
      </c>
      <c r="I7" s="2">
        <v>2</v>
      </c>
      <c r="J7" s="2">
        <f>J6-I7</f>
        <v>375</v>
      </c>
    </row>
    <row r="8" spans="2:19" ht="16.5">
      <c r="B8" s="3" t="s">
        <v>12</v>
      </c>
      <c r="C8" s="2">
        <v>4.75</v>
      </c>
      <c r="E8" s="4">
        <v>46057</v>
      </c>
      <c r="F8" s="2">
        <v>2</v>
      </c>
      <c r="G8" s="2">
        <v>4.75</v>
      </c>
      <c r="H8" s="2">
        <v>370.5</v>
      </c>
      <c r="I8" s="2">
        <v>4</v>
      </c>
      <c r="J8" s="2">
        <f t="shared" ref="J8:J71" si="0">J7-I8</f>
        <v>371</v>
      </c>
    </row>
    <row r="9" spans="2:19">
      <c r="E9" s="4">
        <v>46058</v>
      </c>
      <c r="F9" s="2">
        <v>3</v>
      </c>
      <c r="G9" s="2">
        <v>4.75</v>
      </c>
      <c r="H9" s="2">
        <v>365.75</v>
      </c>
      <c r="I9" s="2">
        <v>3</v>
      </c>
      <c r="J9" s="2">
        <f t="shared" si="0"/>
        <v>368</v>
      </c>
    </row>
    <row r="10" spans="2:19">
      <c r="E10" s="4">
        <v>46059</v>
      </c>
      <c r="F10" s="2">
        <v>4</v>
      </c>
      <c r="G10" s="2">
        <v>4.75</v>
      </c>
      <c r="H10" s="2">
        <v>361</v>
      </c>
      <c r="I10" s="2">
        <v>2</v>
      </c>
      <c r="J10" s="2">
        <f t="shared" si="0"/>
        <v>366</v>
      </c>
    </row>
    <row r="11" spans="2:19">
      <c r="E11" s="4">
        <v>46060</v>
      </c>
      <c r="F11" s="2">
        <v>5</v>
      </c>
      <c r="G11" s="2">
        <v>4.75</v>
      </c>
      <c r="H11" s="2">
        <v>356.25</v>
      </c>
      <c r="I11" s="2">
        <v>4</v>
      </c>
      <c r="J11" s="2">
        <f t="shared" si="0"/>
        <v>362</v>
      </c>
    </row>
    <row r="12" spans="2:19">
      <c r="E12" s="4">
        <v>46061</v>
      </c>
      <c r="F12" s="2">
        <v>6</v>
      </c>
      <c r="G12" s="2">
        <v>4.75</v>
      </c>
      <c r="H12" s="2">
        <v>351.5</v>
      </c>
      <c r="I12" s="2">
        <v>3</v>
      </c>
      <c r="J12" s="2">
        <f t="shared" si="0"/>
        <v>359</v>
      </c>
    </row>
    <row r="13" spans="2:19">
      <c r="E13" s="4">
        <v>46062</v>
      </c>
      <c r="F13" s="2">
        <v>7</v>
      </c>
      <c r="G13" s="2">
        <v>4.75</v>
      </c>
      <c r="H13" s="2">
        <v>346.75</v>
      </c>
      <c r="I13" s="2">
        <v>2</v>
      </c>
      <c r="J13" s="2">
        <f t="shared" si="0"/>
        <v>357</v>
      </c>
    </row>
    <row r="14" spans="2:19">
      <c r="E14" s="4">
        <v>46063</v>
      </c>
      <c r="F14" s="2">
        <v>8</v>
      </c>
      <c r="G14" s="2">
        <v>4.75</v>
      </c>
      <c r="H14" s="2">
        <v>342</v>
      </c>
      <c r="I14" s="2">
        <v>4</v>
      </c>
      <c r="J14" s="2">
        <f t="shared" si="0"/>
        <v>353</v>
      </c>
    </row>
    <row r="15" spans="2:19">
      <c r="E15" s="4">
        <v>46064</v>
      </c>
      <c r="F15" s="2">
        <v>9</v>
      </c>
      <c r="G15" s="2">
        <v>4.75</v>
      </c>
      <c r="H15" s="2">
        <v>337.25</v>
      </c>
      <c r="I15" s="2">
        <v>3</v>
      </c>
      <c r="J15" s="2">
        <f t="shared" si="0"/>
        <v>350</v>
      </c>
    </row>
    <row r="16" spans="2:19">
      <c r="E16" s="4">
        <v>46065</v>
      </c>
      <c r="F16" s="2">
        <v>10</v>
      </c>
      <c r="G16" s="2">
        <v>4.75</v>
      </c>
      <c r="H16" s="2">
        <v>332.5</v>
      </c>
      <c r="I16" s="2">
        <v>3</v>
      </c>
      <c r="J16" s="2">
        <f t="shared" si="0"/>
        <v>347</v>
      </c>
    </row>
    <row r="17" spans="5:10">
      <c r="E17" s="4">
        <v>46066</v>
      </c>
      <c r="F17" s="2">
        <v>11</v>
      </c>
      <c r="G17" s="2">
        <v>4.75</v>
      </c>
      <c r="H17" s="2">
        <v>327.75</v>
      </c>
      <c r="I17" s="2">
        <v>3</v>
      </c>
      <c r="J17" s="2">
        <f t="shared" si="0"/>
        <v>344</v>
      </c>
    </row>
    <row r="18" spans="5:10">
      <c r="E18" s="4">
        <v>46067</v>
      </c>
      <c r="F18" s="2">
        <v>12</v>
      </c>
      <c r="G18" s="2">
        <v>4.75</v>
      </c>
      <c r="H18" s="2">
        <v>323</v>
      </c>
      <c r="I18" s="2">
        <v>2</v>
      </c>
      <c r="J18" s="2">
        <f t="shared" si="0"/>
        <v>342</v>
      </c>
    </row>
    <row r="19" spans="5:10">
      <c r="E19" s="4">
        <v>46068</v>
      </c>
      <c r="F19" s="2">
        <v>13</v>
      </c>
      <c r="G19" s="2">
        <v>4.75</v>
      </c>
      <c r="H19" s="2">
        <v>318.25</v>
      </c>
      <c r="I19" s="2">
        <v>4</v>
      </c>
      <c r="J19" s="2">
        <f t="shared" si="0"/>
        <v>338</v>
      </c>
    </row>
    <row r="20" spans="5:10">
      <c r="E20" s="4">
        <v>46069</v>
      </c>
      <c r="F20" s="2">
        <v>14</v>
      </c>
      <c r="G20" s="2">
        <v>4.75</v>
      </c>
      <c r="H20" s="2">
        <v>313.5</v>
      </c>
      <c r="I20" s="2">
        <v>2</v>
      </c>
      <c r="J20" s="2">
        <f t="shared" si="0"/>
        <v>336</v>
      </c>
    </row>
    <row r="21" spans="5:10">
      <c r="E21" s="4">
        <v>46070</v>
      </c>
      <c r="F21" s="2">
        <v>15</v>
      </c>
      <c r="G21" s="2">
        <v>4.75</v>
      </c>
      <c r="H21" s="2">
        <v>308.75</v>
      </c>
      <c r="I21" s="2">
        <v>4</v>
      </c>
      <c r="J21" s="2">
        <f t="shared" si="0"/>
        <v>332</v>
      </c>
    </row>
    <row r="22" spans="5:10">
      <c r="E22" s="4">
        <v>46071</v>
      </c>
      <c r="F22" s="2">
        <v>16</v>
      </c>
      <c r="G22" s="2">
        <v>4.75</v>
      </c>
      <c r="H22" s="2">
        <v>304</v>
      </c>
      <c r="I22" s="2">
        <v>3</v>
      </c>
      <c r="J22" s="2">
        <f t="shared" si="0"/>
        <v>329</v>
      </c>
    </row>
    <row r="23" spans="5:10">
      <c r="E23" s="4">
        <v>46072</v>
      </c>
      <c r="F23" s="2">
        <v>17</v>
      </c>
      <c r="G23" s="2">
        <v>4.75</v>
      </c>
      <c r="H23" s="2">
        <v>299.25</v>
      </c>
      <c r="I23" s="2">
        <v>4</v>
      </c>
      <c r="J23" s="2">
        <f t="shared" si="0"/>
        <v>325</v>
      </c>
    </row>
    <row r="24" spans="5:10">
      <c r="E24" s="4">
        <v>46073</v>
      </c>
      <c r="F24" s="2">
        <v>18</v>
      </c>
      <c r="G24" s="2">
        <v>4.75</v>
      </c>
      <c r="H24" s="2">
        <v>294.5</v>
      </c>
      <c r="I24" s="2">
        <v>2</v>
      </c>
      <c r="J24" s="2">
        <f t="shared" si="0"/>
        <v>323</v>
      </c>
    </row>
    <row r="25" spans="5:10">
      <c r="E25" s="4">
        <v>46074</v>
      </c>
      <c r="F25" s="2">
        <v>19</v>
      </c>
      <c r="G25" s="2">
        <v>4.75</v>
      </c>
      <c r="H25" s="2">
        <v>289.75</v>
      </c>
      <c r="I25" s="2">
        <v>9</v>
      </c>
      <c r="J25" s="2">
        <f t="shared" si="0"/>
        <v>314</v>
      </c>
    </row>
    <row r="26" spans="5:10">
      <c r="E26" s="4">
        <v>46075</v>
      </c>
      <c r="F26" s="2">
        <v>20</v>
      </c>
      <c r="G26" s="2">
        <v>4.75</v>
      </c>
      <c r="H26" s="2">
        <v>285</v>
      </c>
      <c r="I26" s="2">
        <v>0</v>
      </c>
      <c r="J26" s="2">
        <f t="shared" si="0"/>
        <v>314</v>
      </c>
    </row>
    <row r="27" spans="5:10">
      <c r="E27" s="4">
        <v>46076</v>
      </c>
      <c r="F27" s="2">
        <v>21</v>
      </c>
      <c r="G27" s="2">
        <v>4.75</v>
      </c>
      <c r="H27" s="2">
        <v>280.25</v>
      </c>
      <c r="I27" s="2">
        <v>0</v>
      </c>
      <c r="J27" s="2">
        <f t="shared" si="0"/>
        <v>314</v>
      </c>
    </row>
    <row r="28" spans="5:10">
      <c r="E28" s="4">
        <v>46077</v>
      </c>
      <c r="F28" s="2">
        <v>22</v>
      </c>
      <c r="G28" s="2">
        <v>4.75</v>
      </c>
      <c r="H28" s="2">
        <v>275.5</v>
      </c>
      <c r="I28" s="2">
        <v>2</v>
      </c>
      <c r="J28" s="2">
        <f t="shared" si="0"/>
        <v>312</v>
      </c>
    </row>
    <row r="29" spans="5:10">
      <c r="E29" s="4">
        <v>46078</v>
      </c>
      <c r="F29" s="2">
        <v>23</v>
      </c>
      <c r="G29" s="2">
        <v>4.75</v>
      </c>
      <c r="H29" s="2">
        <v>270.75</v>
      </c>
      <c r="I29" s="2">
        <v>4</v>
      </c>
      <c r="J29" s="2">
        <f t="shared" si="0"/>
        <v>308</v>
      </c>
    </row>
    <row r="30" spans="5:10">
      <c r="E30" s="4">
        <v>46079</v>
      </c>
      <c r="F30" s="2">
        <v>24</v>
      </c>
      <c r="G30" s="2">
        <v>4.75</v>
      </c>
      <c r="H30" s="2">
        <v>266</v>
      </c>
      <c r="I30" s="2">
        <v>1</v>
      </c>
      <c r="J30" s="2">
        <f t="shared" si="0"/>
        <v>307</v>
      </c>
    </row>
    <row r="31" spans="5:10">
      <c r="E31" s="4">
        <v>46080</v>
      </c>
      <c r="F31" s="2">
        <v>25</v>
      </c>
      <c r="G31" s="2">
        <v>4.75</v>
      </c>
      <c r="H31" s="2">
        <v>261.25</v>
      </c>
      <c r="I31" s="2">
        <v>5</v>
      </c>
      <c r="J31" s="2">
        <f t="shared" si="0"/>
        <v>302</v>
      </c>
    </row>
    <row r="32" spans="5:10">
      <c r="E32" s="4">
        <v>46081</v>
      </c>
      <c r="F32" s="2">
        <v>26</v>
      </c>
      <c r="G32" s="2">
        <v>4.75</v>
      </c>
      <c r="H32" s="2">
        <v>256.5</v>
      </c>
      <c r="I32" s="2">
        <v>3</v>
      </c>
      <c r="J32" s="2">
        <f t="shared" si="0"/>
        <v>299</v>
      </c>
    </row>
    <row r="33" spans="5:10">
      <c r="E33" s="4">
        <v>46082</v>
      </c>
      <c r="F33" s="2">
        <v>27</v>
      </c>
      <c r="G33" s="2">
        <v>4.75</v>
      </c>
      <c r="H33" s="2">
        <v>251.75</v>
      </c>
      <c r="I33" s="2">
        <v>2</v>
      </c>
      <c r="J33" s="2">
        <f t="shared" si="0"/>
        <v>297</v>
      </c>
    </row>
    <row r="34" spans="5:10">
      <c r="E34" s="4">
        <v>46083</v>
      </c>
      <c r="F34" s="2">
        <v>28</v>
      </c>
      <c r="G34" s="2">
        <v>4.75</v>
      </c>
      <c r="H34" s="2">
        <v>247</v>
      </c>
      <c r="I34" s="2">
        <v>4</v>
      </c>
      <c r="J34" s="2">
        <f t="shared" si="0"/>
        <v>293</v>
      </c>
    </row>
    <row r="35" spans="5:10">
      <c r="E35" s="4">
        <v>46084</v>
      </c>
      <c r="F35" s="2">
        <v>29</v>
      </c>
      <c r="G35" s="2">
        <v>4.75</v>
      </c>
      <c r="H35" s="2">
        <v>242.25</v>
      </c>
      <c r="I35" s="2">
        <v>5</v>
      </c>
      <c r="J35" s="2">
        <f t="shared" si="0"/>
        <v>288</v>
      </c>
    </row>
    <row r="36" spans="5:10">
      <c r="E36" s="4">
        <v>46085</v>
      </c>
      <c r="F36" s="2">
        <v>30</v>
      </c>
      <c r="G36" s="2">
        <v>4.75</v>
      </c>
      <c r="H36" s="2">
        <v>237.5</v>
      </c>
      <c r="I36" s="2">
        <v>1</v>
      </c>
      <c r="J36" s="2">
        <f t="shared" si="0"/>
        <v>287</v>
      </c>
    </row>
    <row r="37" spans="5:10">
      <c r="E37" s="4">
        <v>46086</v>
      </c>
      <c r="F37" s="2">
        <v>31</v>
      </c>
      <c r="G37" s="2">
        <v>4.75</v>
      </c>
      <c r="H37" s="2">
        <v>232.75</v>
      </c>
      <c r="I37" s="2">
        <v>3</v>
      </c>
      <c r="J37" s="2">
        <f t="shared" si="0"/>
        <v>284</v>
      </c>
    </row>
    <row r="38" spans="5:10">
      <c r="E38" s="4">
        <v>46087</v>
      </c>
      <c r="F38" s="2">
        <v>32</v>
      </c>
      <c r="G38" s="2">
        <v>4.75</v>
      </c>
      <c r="H38" s="2">
        <v>228</v>
      </c>
      <c r="I38" s="2">
        <v>3</v>
      </c>
      <c r="J38" s="2">
        <f t="shared" si="0"/>
        <v>281</v>
      </c>
    </row>
    <row r="39" spans="5:10">
      <c r="E39" s="4">
        <v>46088</v>
      </c>
      <c r="F39" s="2">
        <v>33</v>
      </c>
      <c r="G39" s="2">
        <v>4.75</v>
      </c>
      <c r="H39" s="2">
        <v>223.25</v>
      </c>
      <c r="I39" s="2">
        <v>0</v>
      </c>
      <c r="J39" s="2">
        <f t="shared" si="0"/>
        <v>281</v>
      </c>
    </row>
    <row r="40" spans="5:10">
      <c r="E40" s="4">
        <v>46089</v>
      </c>
      <c r="F40" s="2">
        <v>34</v>
      </c>
      <c r="G40" s="2">
        <v>4.75</v>
      </c>
      <c r="H40" s="2">
        <v>218.5</v>
      </c>
      <c r="I40" s="2">
        <v>3</v>
      </c>
      <c r="J40" s="2">
        <f t="shared" si="0"/>
        <v>278</v>
      </c>
    </row>
    <row r="41" spans="5:10">
      <c r="E41" s="4">
        <v>46090</v>
      </c>
      <c r="F41" s="2">
        <v>35</v>
      </c>
      <c r="G41" s="2">
        <v>4.75</v>
      </c>
      <c r="H41" s="2">
        <v>213.75</v>
      </c>
      <c r="I41" s="2">
        <v>6</v>
      </c>
      <c r="J41" s="2">
        <f t="shared" si="0"/>
        <v>272</v>
      </c>
    </row>
    <row r="42" spans="5:10">
      <c r="E42" s="4">
        <v>46091</v>
      </c>
      <c r="F42" s="2">
        <v>36</v>
      </c>
      <c r="G42" s="2">
        <v>4.75</v>
      </c>
      <c r="H42" s="2">
        <v>209</v>
      </c>
      <c r="I42" s="2">
        <v>10</v>
      </c>
      <c r="J42" s="2">
        <f t="shared" si="0"/>
        <v>262</v>
      </c>
    </row>
    <row r="43" spans="5:10">
      <c r="E43" s="4">
        <v>46092</v>
      </c>
      <c r="F43" s="2">
        <v>37</v>
      </c>
      <c r="G43" s="2">
        <v>4.75</v>
      </c>
      <c r="H43" s="2">
        <v>204.25</v>
      </c>
      <c r="I43" s="2">
        <v>2</v>
      </c>
      <c r="J43" s="2">
        <f t="shared" si="0"/>
        <v>260</v>
      </c>
    </row>
    <row r="44" spans="5:10">
      <c r="E44" s="4">
        <v>46093</v>
      </c>
      <c r="F44" s="2">
        <v>38</v>
      </c>
      <c r="G44" s="2">
        <v>4.75</v>
      </c>
      <c r="H44" s="2">
        <v>199.5</v>
      </c>
      <c r="I44" s="2">
        <v>4</v>
      </c>
      <c r="J44" s="2">
        <f t="shared" si="0"/>
        <v>256</v>
      </c>
    </row>
    <row r="45" spans="5:10">
      <c r="E45" s="4">
        <v>46094</v>
      </c>
      <c r="F45" s="2">
        <v>39</v>
      </c>
      <c r="G45" s="2">
        <v>4.75</v>
      </c>
      <c r="H45" s="2">
        <v>194.75</v>
      </c>
      <c r="I45" s="2">
        <v>8</v>
      </c>
      <c r="J45" s="2">
        <f t="shared" si="0"/>
        <v>248</v>
      </c>
    </row>
    <row r="46" spans="5:10">
      <c r="E46" s="4">
        <v>46095</v>
      </c>
      <c r="F46" s="2">
        <v>40</v>
      </c>
      <c r="G46" s="2">
        <v>4.75</v>
      </c>
      <c r="H46" s="2">
        <v>190</v>
      </c>
      <c r="I46" s="2">
        <v>6</v>
      </c>
      <c r="J46" s="2">
        <f t="shared" si="0"/>
        <v>242</v>
      </c>
    </row>
    <row r="47" spans="5:10">
      <c r="E47" s="4">
        <v>46096</v>
      </c>
      <c r="F47" s="2">
        <v>41</v>
      </c>
      <c r="G47" s="2">
        <v>4.75</v>
      </c>
      <c r="H47" s="2">
        <v>185.25</v>
      </c>
      <c r="I47" s="2">
        <v>6</v>
      </c>
      <c r="J47" s="2">
        <f t="shared" si="0"/>
        <v>236</v>
      </c>
    </row>
    <row r="48" spans="5:10">
      <c r="E48" s="4">
        <v>46097</v>
      </c>
      <c r="F48" s="2">
        <v>42</v>
      </c>
      <c r="G48" s="2">
        <v>4.75</v>
      </c>
      <c r="H48" s="2">
        <v>180.5</v>
      </c>
      <c r="I48" s="2">
        <v>8</v>
      </c>
      <c r="J48" s="2">
        <f t="shared" si="0"/>
        <v>228</v>
      </c>
    </row>
    <row r="49" spans="5:10">
      <c r="E49" s="4">
        <v>46098</v>
      </c>
      <c r="F49" s="2">
        <v>43</v>
      </c>
      <c r="G49" s="2">
        <v>4.75</v>
      </c>
      <c r="H49" s="2">
        <v>175.75</v>
      </c>
      <c r="I49" s="2">
        <v>4</v>
      </c>
      <c r="J49" s="2">
        <f t="shared" si="0"/>
        <v>224</v>
      </c>
    </row>
    <row r="50" spans="5:10">
      <c r="E50" s="4">
        <v>46099</v>
      </c>
      <c r="F50" s="2">
        <v>44</v>
      </c>
      <c r="G50" s="2">
        <v>4.75</v>
      </c>
      <c r="H50" s="2">
        <v>171</v>
      </c>
      <c r="I50" s="2">
        <v>18</v>
      </c>
      <c r="J50" s="2">
        <f t="shared" si="0"/>
        <v>206</v>
      </c>
    </row>
    <row r="51" spans="5:10">
      <c r="E51" s="4">
        <v>46100</v>
      </c>
      <c r="F51" s="2">
        <v>45</v>
      </c>
      <c r="G51" s="2">
        <v>4.75</v>
      </c>
      <c r="H51" s="2">
        <v>166.25</v>
      </c>
      <c r="I51" s="2">
        <v>0</v>
      </c>
      <c r="J51" s="2">
        <f t="shared" si="0"/>
        <v>206</v>
      </c>
    </row>
    <row r="52" spans="5:10">
      <c r="E52" s="4">
        <v>46101</v>
      </c>
      <c r="F52" s="2">
        <v>46</v>
      </c>
      <c r="G52" s="2">
        <v>4.75</v>
      </c>
      <c r="H52" s="2">
        <v>161.5</v>
      </c>
      <c r="I52" s="2">
        <v>2</v>
      </c>
      <c r="J52" s="2">
        <f t="shared" si="0"/>
        <v>204</v>
      </c>
    </row>
    <row r="53" spans="5:10">
      <c r="E53" s="4">
        <v>46102</v>
      </c>
      <c r="F53" s="2">
        <v>47</v>
      </c>
      <c r="G53" s="2">
        <v>4.75</v>
      </c>
      <c r="H53" s="2">
        <v>156.75</v>
      </c>
      <c r="I53" s="2">
        <v>10</v>
      </c>
      <c r="J53" s="2">
        <f t="shared" si="0"/>
        <v>194</v>
      </c>
    </row>
    <row r="54" spans="5:10">
      <c r="E54" s="4">
        <v>46103</v>
      </c>
      <c r="F54" s="2">
        <v>48</v>
      </c>
      <c r="G54" s="2">
        <v>4.75</v>
      </c>
      <c r="H54" s="2">
        <v>152</v>
      </c>
      <c r="I54" s="2">
        <v>2</v>
      </c>
      <c r="J54" s="2">
        <f t="shared" si="0"/>
        <v>192</v>
      </c>
    </row>
    <row r="55" spans="5:10">
      <c r="E55" s="4">
        <v>46104</v>
      </c>
      <c r="F55" s="2">
        <v>49</v>
      </c>
      <c r="G55" s="2">
        <v>4.75</v>
      </c>
      <c r="H55" s="2">
        <v>147.25</v>
      </c>
      <c r="I55" s="2">
        <v>4</v>
      </c>
      <c r="J55" s="2">
        <f t="shared" si="0"/>
        <v>188</v>
      </c>
    </row>
    <row r="56" spans="5:10">
      <c r="E56" s="4">
        <v>46105</v>
      </c>
      <c r="F56" s="2">
        <v>50</v>
      </c>
      <c r="G56" s="2">
        <v>4.75</v>
      </c>
      <c r="H56" s="2">
        <v>142.5</v>
      </c>
      <c r="I56" s="2">
        <v>6</v>
      </c>
      <c r="J56" s="2">
        <f t="shared" si="0"/>
        <v>182</v>
      </c>
    </row>
    <row r="57" spans="5:10">
      <c r="E57" s="4">
        <v>46106</v>
      </c>
      <c r="F57" s="2">
        <v>51</v>
      </c>
      <c r="G57" s="2">
        <v>4.75</v>
      </c>
      <c r="H57" s="2">
        <v>137.75</v>
      </c>
      <c r="I57" s="2">
        <v>6</v>
      </c>
      <c r="J57" s="2">
        <f t="shared" si="0"/>
        <v>176</v>
      </c>
    </row>
    <row r="58" spans="5:10">
      <c r="E58" s="4">
        <v>46107</v>
      </c>
      <c r="F58" s="2">
        <v>52</v>
      </c>
      <c r="G58" s="2">
        <v>4.75</v>
      </c>
      <c r="H58" s="2">
        <v>133</v>
      </c>
      <c r="I58" s="2">
        <v>8</v>
      </c>
      <c r="J58" s="2">
        <f t="shared" si="0"/>
        <v>168</v>
      </c>
    </row>
    <row r="59" spans="5:10">
      <c r="E59" s="4">
        <v>46108</v>
      </c>
      <c r="F59" s="2">
        <v>53</v>
      </c>
      <c r="G59" s="2">
        <v>4.75</v>
      </c>
      <c r="H59" s="2">
        <v>128.25</v>
      </c>
      <c r="I59" s="2">
        <v>4</v>
      </c>
      <c r="J59" s="2">
        <f t="shared" si="0"/>
        <v>164</v>
      </c>
    </row>
    <row r="60" spans="5:10">
      <c r="E60" s="4">
        <v>46109</v>
      </c>
      <c r="F60" s="2">
        <v>54</v>
      </c>
      <c r="G60" s="2">
        <v>4.75</v>
      </c>
      <c r="H60" s="2">
        <v>123.5</v>
      </c>
      <c r="I60" s="2">
        <v>6</v>
      </c>
      <c r="J60" s="2">
        <f t="shared" si="0"/>
        <v>158</v>
      </c>
    </row>
    <row r="61" spans="5:10">
      <c r="E61" s="4">
        <v>46110</v>
      </c>
      <c r="F61" s="2">
        <v>55</v>
      </c>
      <c r="G61" s="2">
        <v>4.75</v>
      </c>
      <c r="H61" s="2">
        <v>118.75</v>
      </c>
      <c r="I61" s="2">
        <v>6</v>
      </c>
      <c r="J61" s="2">
        <f t="shared" si="0"/>
        <v>152</v>
      </c>
    </row>
    <row r="62" spans="5:10">
      <c r="E62" s="4">
        <v>46111</v>
      </c>
      <c r="F62" s="2">
        <v>56</v>
      </c>
      <c r="G62" s="2">
        <v>4.75</v>
      </c>
      <c r="H62" s="2">
        <v>114</v>
      </c>
      <c r="I62" s="2">
        <v>12</v>
      </c>
      <c r="J62" s="2">
        <f t="shared" si="0"/>
        <v>140</v>
      </c>
    </row>
    <row r="63" spans="5:10">
      <c r="E63" s="4">
        <v>46112</v>
      </c>
      <c r="F63" s="2">
        <v>57</v>
      </c>
      <c r="G63" s="2">
        <v>4.75</v>
      </c>
      <c r="H63" s="2">
        <v>109.25</v>
      </c>
      <c r="I63" s="2">
        <v>0</v>
      </c>
      <c r="J63" s="2">
        <f t="shared" si="0"/>
        <v>140</v>
      </c>
    </row>
    <row r="64" spans="5:10">
      <c r="E64" s="4">
        <v>46113</v>
      </c>
      <c r="F64" s="2">
        <v>58</v>
      </c>
      <c r="G64" s="2">
        <v>4.75</v>
      </c>
      <c r="H64" s="2">
        <v>104.5</v>
      </c>
      <c r="I64" s="2">
        <v>21</v>
      </c>
      <c r="J64" s="2">
        <f t="shared" si="0"/>
        <v>119</v>
      </c>
    </row>
    <row r="65" spans="5:10">
      <c r="E65" s="4">
        <v>46114</v>
      </c>
      <c r="F65" s="2">
        <v>59</v>
      </c>
      <c r="G65" s="2">
        <v>4.75</v>
      </c>
      <c r="H65" s="2">
        <v>99.75</v>
      </c>
      <c r="I65" s="2">
        <v>4</v>
      </c>
      <c r="J65" s="2">
        <f t="shared" si="0"/>
        <v>115</v>
      </c>
    </row>
    <row r="66" spans="5:10">
      <c r="E66" s="4">
        <v>46115</v>
      </c>
      <c r="F66" s="2">
        <v>60</v>
      </c>
      <c r="G66" s="2">
        <v>4.75</v>
      </c>
      <c r="H66" s="2">
        <v>95</v>
      </c>
      <c r="I66" s="2">
        <v>4</v>
      </c>
      <c r="J66" s="2">
        <f t="shared" si="0"/>
        <v>111</v>
      </c>
    </row>
    <row r="67" spans="5:10">
      <c r="E67" s="4">
        <v>46116</v>
      </c>
      <c r="F67" s="2">
        <v>61</v>
      </c>
      <c r="G67" s="2">
        <v>4.75</v>
      </c>
      <c r="H67" s="2">
        <v>90.25</v>
      </c>
      <c r="I67" s="2">
        <v>6</v>
      </c>
      <c r="J67" s="2">
        <f t="shared" si="0"/>
        <v>105</v>
      </c>
    </row>
    <row r="68" spans="5:10">
      <c r="E68" s="4">
        <v>46117</v>
      </c>
      <c r="F68" s="2">
        <v>62</v>
      </c>
      <c r="G68" s="2">
        <v>4.75</v>
      </c>
      <c r="H68" s="2">
        <v>85.5</v>
      </c>
      <c r="I68" s="2">
        <v>6</v>
      </c>
      <c r="J68" s="2">
        <f t="shared" si="0"/>
        <v>99</v>
      </c>
    </row>
    <row r="69" spans="5:10">
      <c r="E69" s="4">
        <v>46118</v>
      </c>
      <c r="F69" s="2">
        <v>63</v>
      </c>
      <c r="G69" s="2">
        <v>4.75</v>
      </c>
      <c r="H69" s="2">
        <v>80.75</v>
      </c>
      <c r="I69" s="2">
        <v>5</v>
      </c>
      <c r="J69" s="2">
        <f t="shared" si="0"/>
        <v>94</v>
      </c>
    </row>
    <row r="70" spans="5:10">
      <c r="E70" s="4">
        <v>46119</v>
      </c>
      <c r="F70" s="2">
        <v>64</v>
      </c>
      <c r="G70" s="2">
        <v>4.75</v>
      </c>
      <c r="H70" s="2">
        <v>76</v>
      </c>
      <c r="I70" s="2">
        <v>4</v>
      </c>
      <c r="J70" s="2">
        <f t="shared" si="0"/>
        <v>90</v>
      </c>
    </row>
    <row r="71" spans="5:10">
      <c r="E71" s="4">
        <v>46120</v>
      </c>
      <c r="F71" s="2">
        <v>65</v>
      </c>
      <c r="G71" s="2">
        <v>4.75</v>
      </c>
      <c r="H71" s="2">
        <v>71.25</v>
      </c>
      <c r="I71" s="2">
        <v>4</v>
      </c>
      <c r="J71" s="2">
        <f t="shared" si="0"/>
        <v>86</v>
      </c>
    </row>
    <row r="72" spans="5:10">
      <c r="E72" s="4">
        <v>46121</v>
      </c>
      <c r="F72" s="2">
        <v>66</v>
      </c>
      <c r="G72" s="2">
        <v>4.75</v>
      </c>
      <c r="H72" s="2">
        <v>66.5</v>
      </c>
      <c r="I72" s="2">
        <v>2</v>
      </c>
      <c r="J72" s="2">
        <f t="shared" ref="J72:J86" si="1">J71-I72</f>
        <v>84</v>
      </c>
    </row>
    <row r="73" spans="5:10">
      <c r="E73" s="4">
        <v>46122</v>
      </c>
      <c r="F73" s="2">
        <v>67</v>
      </c>
      <c r="G73" s="2">
        <v>4.75</v>
      </c>
      <c r="H73" s="2">
        <v>61.75</v>
      </c>
      <c r="I73" s="2">
        <v>6</v>
      </c>
      <c r="J73" s="2">
        <f t="shared" si="1"/>
        <v>78</v>
      </c>
    </row>
    <row r="74" spans="5:10">
      <c r="E74" s="4">
        <v>46123</v>
      </c>
      <c r="F74" s="2">
        <v>68</v>
      </c>
      <c r="G74" s="2">
        <v>4.75</v>
      </c>
      <c r="H74" s="2">
        <v>57</v>
      </c>
      <c r="I74" s="2">
        <v>6</v>
      </c>
      <c r="J74" s="2">
        <f t="shared" si="1"/>
        <v>72</v>
      </c>
    </row>
    <row r="75" spans="5:10">
      <c r="E75" s="4">
        <v>46124</v>
      </c>
      <c r="F75" s="2">
        <v>69</v>
      </c>
      <c r="G75" s="2">
        <v>4.75</v>
      </c>
      <c r="H75" s="2">
        <v>52.25</v>
      </c>
      <c r="I75" s="2">
        <v>12</v>
      </c>
      <c r="J75" s="2">
        <f t="shared" si="1"/>
        <v>60</v>
      </c>
    </row>
    <row r="76" spans="5:10">
      <c r="E76" s="4">
        <v>46125</v>
      </c>
      <c r="F76" s="2">
        <v>70</v>
      </c>
      <c r="G76" s="2">
        <v>4.75</v>
      </c>
      <c r="H76" s="2">
        <v>47.5</v>
      </c>
      <c r="I76" s="2">
        <v>6</v>
      </c>
      <c r="J76" s="2">
        <f t="shared" si="1"/>
        <v>54</v>
      </c>
    </row>
    <row r="77" spans="5:10">
      <c r="E77" s="4">
        <v>46126</v>
      </c>
      <c r="F77" s="2">
        <v>71</v>
      </c>
      <c r="G77" s="2">
        <v>4.75</v>
      </c>
      <c r="H77" s="2">
        <v>42.75</v>
      </c>
      <c r="I77" s="2">
        <v>0</v>
      </c>
      <c r="J77" s="2">
        <f t="shared" si="1"/>
        <v>54</v>
      </c>
    </row>
    <row r="78" spans="5:10">
      <c r="E78" s="4">
        <v>46127</v>
      </c>
      <c r="F78" s="2">
        <v>72</v>
      </c>
      <c r="G78" s="2">
        <v>4.75</v>
      </c>
      <c r="H78" s="2">
        <v>38</v>
      </c>
      <c r="I78" s="2">
        <v>6</v>
      </c>
      <c r="J78" s="2">
        <f t="shared" si="1"/>
        <v>48</v>
      </c>
    </row>
    <row r="79" spans="5:10">
      <c r="E79" s="4">
        <v>46128</v>
      </c>
      <c r="F79" s="2">
        <v>73</v>
      </c>
      <c r="G79" s="2">
        <v>4.75</v>
      </c>
      <c r="H79" s="2">
        <v>33.25</v>
      </c>
      <c r="I79" s="2">
        <v>6</v>
      </c>
      <c r="J79" s="2">
        <f t="shared" si="1"/>
        <v>42</v>
      </c>
    </row>
    <row r="80" spans="5:10">
      <c r="E80" s="4">
        <v>46129</v>
      </c>
      <c r="F80" s="2">
        <v>74</v>
      </c>
      <c r="G80" s="2">
        <v>4.75</v>
      </c>
      <c r="H80" s="2">
        <v>28.5</v>
      </c>
      <c r="I80" s="2">
        <v>10</v>
      </c>
      <c r="J80" s="2">
        <f t="shared" si="1"/>
        <v>32</v>
      </c>
    </row>
    <row r="81" spans="5:10">
      <c r="E81" s="4">
        <v>46130</v>
      </c>
      <c r="F81" s="2">
        <v>75</v>
      </c>
      <c r="G81" s="2">
        <v>4.75</v>
      </c>
      <c r="H81" s="2">
        <v>23.75</v>
      </c>
      <c r="I81" s="2">
        <v>2</v>
      </c>
      <c r="J81" s="2">
        <f t="shared" si="1"/>
        <v>30</v>
      </c>
    </row>
    <row r="82" spans="5:10">
      <c r="E82" s="4">
        <v>46131</v>
      </c>
      <c r="F82" s="2">
        <v>76</v>
      </c>
      <c r="G82" s="2">
        <v>4.75</v>
      </c>
      <c r="H82" s="2">
        <v>19</v>
      </c>
      <c r="I82" s="2">
        <v>6</v>
      </c>
      <c r="J82" s="2">
        <f t="shared" si="1"/>
        <v>24</v>
      </c>
    </row>
    <row r="83" spans="5:10">
      <c r="E83" s="4">
        <v>46132</v>
      </c>
      <c r="F83" s="2">
        <v>77</v>
      </c>
      <c r="G83" s="2">
        <v>4.75</v>
      </c>
      <c r="H83" s="2">
        <v>14.25</v>
      </c>
      <c r="I83" s="2">
        <v>6</v>
      </c>
      <c r="J83" s="2">
        <f t="shared" si="1"/>
        <v>18</v>
      </c>
    </row>
    <row r="84" spans="5:10">
      <c r="E84" s="4">
        <v>46133</v>
      </c>
      <c r="F84" s="2">
        <v>78</v>
      </c>
      <c r="G84" s="2">
        <v>4.75</v>
      </c>
      <c r="H84" s="2">
        <v>9.5</v>
      </c>
      <c r="I84" s="2">
        <v>4</v>
      </c>
      <c r="J84" s="2">
        <f t="shared" si="1"/>
        <v>14</v>
      </c>
    </row>
    <row r="85" spans="5:10">
      <c r="E85" s="4">
        <v>46134</v>
      </c>
      <c r="F85" s="2">
        <v>79</v>
      </c>
      <c r="G85" s="2">
        <v>4.75</v>
      </c>
      <c r="H85" s="2">
        <v>4.75</v>
      </c>
      <c r="I85" s="2">
        <v>8</v>
      </c>
      <c r="J85" s="2">
        <f t="shared" si="1"/>
        <v>6</v>
      </c>
    </row>
    <row r="86" spans="5:10">
      <c r="E86" s="4">
        <v>46135</v>
      </c>
      <c r="F86" s="2">
        <v>80</v>
      </c>
      <c r="G86" s="2">
        <v>4.75</v>
      </c>
      <c r="H86" s="2">
        <v>0</v>
      </c>
      <c r="I86" s="2">
        <v>6</v>
      </c>
      <c r="J86" s="2">
        <f t="shared" si="1"/>
        <v>0</v>
      </c>
    </row>
  </sheetData>
  <mergeCells count="2">
    <mergeCell ref="B1:S2"/>
    <mergeCell ref="B3:S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2026-03-31T09:15:28Z</dcterms:created>
  <dcterms:modified xsi:type="dcterms:W3CDTF">2026-04-01T21:09:06Z</dcterms:modified>
  <cp:category/>
  <cp:contentStatus/>
</cp:coreProperties>
</file>